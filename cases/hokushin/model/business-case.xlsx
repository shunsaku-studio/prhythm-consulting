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calc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40" customWidth="1"/>
    <col min="3" max="3" width="14" customWidth="1"/>
    <col min="4" max="4" width="8" customWidth="1"/>
    <col min="5" max="5" width="18" customWidth="1"/>
    <col min="6" max="6" width="18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</cols>
  <sheetData>
    <row r="1">
      <c r="A1" s="3" t="inlineStr">
        <is>
          <t xml:space="preserve">id</t>
        </is>
      </c>
      <c r="B1" s="3" t="inlineStr">
        <is>
          <t xml:space="preserve">label</t>
        </is>
      </c>
      <c r="C1" s="3" t="inlineStr">
        <is>
          <t xml:space="preserve">value</t>
        </is>
      </c>
      <c r="D1" s="3" t="inlineStr">
        <is>
          <t xml:space="preserve">unit</t>
        </is>
      </c>
      <c r="E1" s="3" t="inlineStr">
        <is>
          <t xml:space="preserve">source_tag</t>
        </is>
      </c>
      <c r="F1" s="3" t="inlineStr">
        <is>
          <t xml:space="preserve">key</t>
        </is>
      </c>
    </row>
    <row r="2">
      <c r="A2" s="0" t="inlineStr">
        <is>
          <t xml:space="preserve">F-001</t>
        </is>
      </c>
      <c r="B2" s="0" t="inlineStr">
        <is>
          <t xml:space="preserve">基準年の連結売上高</t>
        </is>
      </c>
      <c r="C2" s="1">
        <v>2000.0</v>
      </c>
      <c r="D2" s="0" t="inlineStr">
        <is>
          <t xml:space="preserve">億円</t>
        </is>
      </c>
      <c r="E2" s="0" t="inlineStr">
        <is>
          <t xml:space="preserve">公開</t>
        </is>
      </c>
      <c r="F2" s="0" t="inlineStr">
        <is>
          <t xml:space="preserve">base_revenue</t>
        </is>
      </c>
    </row>
    <row r="3">
      <c r="A3" s="0" t="inlineStr">
        <is>
          <t xml:space="preserve">F-227</t>
        </is>
      </c>
      <c r="B3" s="0" t="inlineStr">
        <is>
          <t xml:space="preserve">基準年の連結営業利益</t>
        </is>
      </c>
      <c r="C3" s="1">
        <v>122.2</v>
      </c>
      <c r="D3" s="0" t="inlineStr">
        <is>
          <t xml:space="preserve">億円</t>
        </is>
      </c>
      <c r="E3" s="0" t="inlineStr">
        <is>
          <t xml:space="preserve">公開</t>
        </is>
      </c>
      <c r="F3" s="0" t="inlineStr">
        <is>
          <t xml:space="preserve">base_op</t>
        </is>
      </c>
    </row>
    <row r="4">
      <c r="A4" s="0" t="inlineStr">
        <is>
          <t xml:space="preserve">F-011</t>
        </is>
      </c>
      <c r="B4" s="0" t="inlineStr">
        <is>
          <t xml:space="preserve">基準年末の純資産</t>
        </is>
      </c>
      <c r="C4" s="1">
        <v>1150.0</v>
      </c>
      <c r="D4" s="0" t="inlineStr">
        <is>
          <t xml:space="preserve">億円</t>
        </is>
      </c>
      <c r="E4" s="0" t="inlineStr">
        <is>
          <t xml:space="preserve">公開</t>
        </is>
      </c>
      <c r="F4" s="0" t="inlineStr">
        <is>
          <t xml:space="preserve">base_equity</t>
        </is>
      </c>
    </row>
    <row r="5">
      <c r="A5" s="0" t="inlineStr">
        <is>
          <t xml:space="preserve">F-230</t>
        </is>
      </c>
      <c r="B5" s="0" t="inlineStr">
        <is>
          <t xml:space="preserve">基準年末の有利子負債（期間中は一定）</t>
        </is>
      </c>
      <c r="C5" s="1">
        <v>400.0</v>
      </c>
      <c r="D5" s="0" t="inlineStr">
        <is>
          <t xml:space="preserve">億円</t>
        </is>
      </c>
      <c r="E5" s="0" t="inlineStr">
        <is>
          <t xml:space="preserve">公開</t>
        </is>
      </c>
      <c r="F5" s="0" t="inlineStr">
        <is>
          <t xml:space="preserve">base_debt</t>
        </is>
      </c>
    </row>
    <row r="6">
      <c r="A6" s="0" t="inlineStr">
        <is>
          <t xml:space="preserve">F-229</t>
        </is>
      </c>
      <c r="B6" s="0" t="inlineStr">
        <is>
          <t xml:space="preserve">基準年末の現金及び預金</t>
        </is>
      </c>
      <c r="C6" s="1">
        <v>320.0</v>
      </c>
      <c r="D6" s="0" t="inlineStr">
        <is>
          <t xml:space="preserve">億円</t>
        </is>
      </c>
      <c r="E6" s="0" t="inlineStr">
        <is>
          <t xml:space="preserve">公開</t>
        </is>
      </c>
      <c r="F6" s="0" t="inlineStr">
        <is>
          <t xml:space="preserve">base_cash</t>
        </is>
      </c>
    </row>
    <row r="7">
      <c r="A7" s="0" t="inlineStr">
        <is>
          <t xml:space="preserve">S-006</t>
        </is>
      </c>
      <c r="B7" s="0" t="inlineStr">
        <is>
          <t xml:space="preserve">成り行きの売上成長率（市場成長の加重平均、gap-bridge）</t>
        </is>
      </c>
      <c r="C7" s="1">
        <v>4.9</v>
      </c>
      <c r="D7" s="0" t="inlineStr">
        <is>
          <t xml:space="preserve">%</t>
        </is>
      </c>
      <c r="E7" s="0" t="inlineStr">
        <is>
          <t xml:space="preserve">推定</t>
        </is>
      </c>
      <c r="F7" s="0" t="inlineStr">
        <is>
          <t xml:space="preserve">base_growth</t>
        </is>
      </c>
    </row>
    <row r="8">
      <c r="A8" s="0" t="inlineStr">
        <is>
          <t xml:space="preserve">F-266</t>
        </is>
      </c>
      <c r="B8" s="0" t="inlineStr">
        <is>
          <t xml:space="preserve">成り行き事業の営業利益率（FY2025 の実績のまま）</t>
        </is>
      </c>
      <c r="C8" s="1">
        <v>6.11</v>
      </c>
      <c r="D8" s="0" t="inlineStr">
        <is>
          <t xml:space="preserve">%</t>
        </is>
      </c>
      <c r="E8" s="0" t="inlineStr">
        <is>
          <t xml:space="preserve">推定</t>
        </is>
      </c>
      <c r="F8" s="0" t="inlineStr">
        <is>
          <t xml:space="preserve">base_margin</t>
        </is>
      </c>
    </row>
    <row r="9">
      <c r="A9" s="0" t="inlineStr">
        <is>
          <t xml:space="preserve">F-459</t>
        </is>
      </c>
      <c r="B9" s="0" t="inlineStr">
        <is>
          <t xml:space="preserve">施策売上の営業利益率（capital-capacity と同じ仮置き）</t>
        </is>
      </c>
      <c r="C9" s="1">
        <v>8.0</v>
      </c>
      <c r="D9" s="0" t="inlineStr">
        <is>
          <t xml:space="preserve">%</t>
        </is>
      </c>
      <c r="E9" s="0" t="inlineStr">
        <is>
          <t xml:space="preserve">仮置き</t>
        </is>
      </c>
      <c r="F9" s="0" t="inlineStr">
        <is>
          <t xml:space="preserve">init_margin</t>
        </is>
      </c>
    </row>
    <row r="10">
      <c r="A10" s="0" t="inlineStr">
        <is>
          <t xml:space="preserve">F-279</t>
        </is>
      </c>
      <c r="B10" s="0" t="inlineStr">
        <is>
          <t xml:space="preserve">成り行き売上に対する減価償却費の比率（FY2025）</t>
        </is>
      </c>
      <c r="C10" s="1">
        <v>4.5</v>
      </c>
      <c r="D10" s="0" t="inlineStr">
        <is>
          <t xml:space="preserve">%</t>
        </is>
      </c>
      <c r="E10" s="0" t="inlineStr">
        <is>
          <t xml:space="preserve">推定</t>
        </is>
      </c>
      <c r="F10" s="0" t="inlineStr">
        <is>
          <t xml:space="preserve">da_rate</t>
        </is>
      </c>
    </row>
    <row r="11">
      <c r="A11" s="0" t="inlineStr">
        <is>
          <t xml:space="preserve">F-279</t>
        </is>
      </c>
      <c r="B11" s="0" t="inlineStr">
        <is>
          <t xml:space="preserve">成り行き売上に対する維持更新投資の比率（減価償却費と同じと置く。capital-capacity と同じ前提）</t>
        </is>
      </c>
      <c r="C11" s="1">
        <v>4.5</v>
      </c>
      <c r="D11" s="0" t="inlineStr">
        <is>
          <t xml:space="preserve">%</t>
        </is>
      </c>
      <c r="E11" s="0" t="inlineStr">
        <is>
          <t xml:space="preserve">推定</t>
        </is>
      </c>
      <c r="F11" s="0" t="inlineStr">
        <is>
          <t xml:space="preserve">maint_capex_rate</t>
        </is>
      </c>
    </row>
    <row r="12">
      <c r="A12" s="0" t="inlineStr">
        <is>
          <t xml:space="preserve">F-466</t>
        </is>
      </c>
      <c r="B12" s="0" t="inlineStr">
        <is>
          <t xml:space="preserve">施策投資の償却年数</t>
        </is>
      </c>
      <c r="C12" s="0">
        <v>10.0</v>
      </c>
      <c r="D12" s="0" t="inlineStr">
        <is>
          <t xml:space="preserve">年</t>
        </is>
      </c>
      <c r="E12" s="0" t="inlineStr">
        <is>
          <t xml:space="preserve">仮置き</t>
        </is>
      </c>
      <c r="F12" s="0" t="inlineStr">
        <is>
          <t xml:space="preserve">dep_life</t>
        </is>
      </c>
    </row>
    <row r="13">
      <c r="A13" s="0" t="inlineStr">
        <is>
          <t xml:space="preserve">F-460</t>
        </is>
      </c>
      <c r="B13" s="0" t="inlineStr">
        <is>
          <t xml:space="preserve">売上増加額に対する運転資本の増加率（capital-capacity と同じ仮置き）</t>
        </is>
      </c>
      <c r="C13" s="1">
        <v>15.0</v>
      </c>
      <c r="D13" s="0" t="inlineStr">
        <is>
          <t xml:space="preserve">%</t>
        </is>
      </c>
      <c r="E13" s="0" t="inlineStr">
        <is>
          <t xml:space="preserve">仮置き</t>
        </is>
      </c>
      <c r="F13" s="0" t="inlineStr">
        <is>
          <t xml:space="preserve">nwc_rate</t>
        </is>
      </c>
    </row>
    <row r="14">
      <c r="A14" s="0" t="inlineStr">
        <is>
          <t xml:space="preserve">F-248</t>
        </is>
      </c>
      <c r="B14" s="0" t="inlineStr">
        <is>
          <t xml:space="preserve">実効税率（financial-analysis と同じ仮置き）</t>
        </is>
      </c>
      <c r="C14" s="1">
        <v>30.0</v>
      </c>
      <c r="D14" s="0" t="inlineStr">
        <is>
          <t xml:space="preserve">%</t>
        </is>
      </c>
      <c r="E14" s="0" t="inlineStr">
        <is>
          <t xml:space="preserve">仮置き</t>
        </is>
      </c>
      <c r="F14" s="0" t="inlineStr">
        <is>
          <t xml:space="preserve">tax_rate</t>
        </is>
      </c>
    </row>
    <row r="15">
      <c r="A15" s="0" t="inlineStr">
        <is>
          <t xml:space="preserve">F-467</t>
        </is>
      </c>
      <c r="B15" s="0" t="inlineStr">
        <is>
          <t xml:space="preserve">有利子負債の平均金利</t>
        </is>
      </c>
      <c r="C15" s="1">
        <v>1.0</v>
      </c>
      <c r="D15" s="0" t="inlineStr">
        <is>
          <t xml:space="preserve">%</t>
        </is>
      </c>
      <c r="E15" s="0" t="inlineStr">
        <is>
          <t xml:space="preserve">仮置き</t>
        </is>
      </c>
      <c r="F15" s="0" t="inlineStr">
        <is>
          <t xml:space="preserve">interest_rate</t>
        </is>
      </c>
    </row>
    <row r="16">
      <c r="A16" s="0" t="inlineStr">
        <is>
          <t xml:space="preserve">F-015</t>
        </is>
      </c>
      <c r="B16" s="0" t="inlineStr">
        <is>
          <t xml:space="preserve">配当性向</t>
        </is>
      </c>
      <c r="C16" s="1">
        <v>35.0</v>
      </c>
      <c r="D16" s="0" t="inlineStr">
        <is>
          <t xml:space="preserve">%</t>
        </is>
      </c>
      <c r="E16" s="0" t="inlineStr">
        <is>
          <t xml:space="preserve">公開</t>
        </is>
      </c>
      <c r="F16" s="0" t="inlineStr">
        <is>
          <t xml:space="preserve">payout_ratio</t>
        </is>
      </c>
    </row>
    <row r="17">
      <c r="A17" s="0" t="inlineStr">
        <is>
          <t xml:space="preserve">F-054</t>
        </is>
      </c>
      <c r="B17" s="0" t="inlineStr">
        <is>
          <t xml:space="preserve">WACC</t>
        </is>
      </c>
      <c r="C17" s="1">
        <v>6.0</v>
      </c>
      <c r="D17" s="0" t="inlineStr">
        <is>
          <t xml:space="preserve">%</t>
        </is>
      </c>
      <c r="E17" s="0" t="inlineStr">
        <is>
          <t xml:space="preserve">公開</t>
        </is>
      </c>
      <c r="F17" s="0" t="inlineStr">
        <is>
          <t xml:space="preserve">wacc</t>
        </is>
      </c>
    </row>
    <row r="19">
      <c r="B19" s="3" t="inlineStr">
        <is>
          <t xml:space="preserve">施策の売上（05-initiatives.csv から。億円）</t>
        </is>
      </c>
      <c r="G19" s="3" t="inlineStr">
        <is>
          <t xml:space="preserve">FY2026</t>
        </is>
      </c>
      <c r="H19" s="3" t="inlineStr">
        <is>
          <t xml:space="preserve">FY2027</t>
        </is>
      </c>
      <c r="I19" s="3" t="inlineStr">
        <is>
          <t xml:space="preserve">FY2028</t>
        </is>
      </c>
      <c r="J19" s="3" t="inlineStr">
        <is>
          <t xml:space="preserve">FY2029</t>
        </is>
      </c>
      <c r="K19" s="3" t="inlineStr">
        <is>
          <t xml:space="preserve">FY2030</t>
        </is>
      </c>
    </row>
    <row r="20">
      <c r="A20" s="0" t="inlineStr">
        <is>
          <t xml:space="preserve">I-001</t>
        </is>
      </c>
      <c r="B20" s="0" t="inlineStr">
        <is>
          <t xml:space="preserve">EV 熱マネジメント部品の拡販 売上（確度 中）</t>
        </is>
      </c>
      <c r="D20" s="0" t="inlineStr">
        <is>
          <t xml:space="preserve">億円</t>
        </is>
      </c>
      <c r="E20" s="0" t="inlineStr">
        <is>
          <t xml:space="preserve">推定</t>
        </is>
      </c>
      <c r="F20" s="0" t="inlineStr">
        <is>
          <t xml:space="preserve">init_rev</t>
        </is>
      </c>
      <c r="G20" s="1">
        <v>41.9</v>
      </c>
      <c r="H20" s="1">
        <v>158.7</v>
      </c>
      <c r="I20" s="1">
        <v>309.6</v>
      </c>
      <c r="J20" s="1">
        <v>419.8</v>
      </c>
      <c r="K20" s="1">
        <v>482.7</v>
      </c>
    </row>
    <row r="21">
      <c r="A21" s="0" t="inlineStr">
        <is>
          <t xml:space="preserve">I-002</t>
        </is>
      </c>
      <c r="B21" s="0" t="inlineStr">
        <is>
          <t xml:space="preserve">半導体製造装置向け部品の能力増強 売上（確度 中）</t>
        </is>
      </c>
      <c r="D21" s="0" t="inlineStr">
        <is>
          <t xml:space="preserve">億円</t>
        </is>
      </c>
      <c r="E21" s="0" t="inlineStr">
        <is>
          <t xml:space="preserve">推定</t>
        </is>
      </c>
      <c r="F21" s="0" t="inlineStr">
        <is>
          <t xml:space="preserve">init_rev</t>
        </is>
      </c>
      <c r="G21" s="1">
        <v>40.4</v>
      </c>
      <c r="H21" s="1">
        <v>134.1</v>
      </c>
      <c r="I21" s="1">
        <v>194.3</v>
      </c>
      <c r="J21" s="1">
        <v>211.7</v>
      </c>
      <c r="K21" s="1">
        <v>230.8</v>
      </c>
    </row>
    <row r="22">
      <c r="A22" s="0" t="inlineStr">
        <is>
          <t xml:space="preserve">I-005</t>
        </is>
      </c>
      <c r="B22" s="0" t="inlineStr">
        <is>
          <t xml:space="preserve">産業用センサーの海外展開（現地の販売会社と提携） 売上（確度 中）</t>
        </is>
      </c>
      <c r="D22" s="0" t="inlineStr">
        <is>
          <t xml:space="preserve">億円</t>
        </is>
      </c>
      <c r="E22" s="0" t="inlineStr">
        <is>
          <t xml:space="preserve">推定</t>
        </is>
      </c>
      <c r="F22" s="0" t="inlineStr">
        <is>
          <t xml:space="preserve">init_rev</t>
        </is>
      </c>
      <c r="G22" s="1">
        <v>0.0</v>
      </c>
      <c r="H22" s="1">
        <v>26.2</v>
      </c>
      <c r="I22" s="1">
        <v>86.5</v>
      </c>
      <c r="J22" s="1">
        <v>124.7</v>
      </c>
      <c r="K22" s="1">
        <v>135.3</v>
      </c>
    </row>
    <row r="23">
      <c r="A23" s="0" t="inlineStr">
        <is>
          <t xml:space="preserve">I-006</t>
        </is>
      </c>
      <c r="B23" s="0" t="inlineStr">
        <is>
          <t xml:space="preserve">海外同業の中規模買収（1 件目） 売上（確度 低）</t>
        </is>
      </c>
      <c r="D23" s="0" t="inlineStr">
        <is>
          <t xml:space="preserve">億円</t>
        </is>
      </c>
      <c r="E23" s="0" t="inlineStr">
        <is>
          <t xml:space="preserve">推定</t>
        </is>
      </c>
      <c r="F23" s="0" t="inlineStr">
        <is>
          <t xml:space="preserve">init_rev</t>
        </is>
      </c>
      <c r="G23" s="1">
        <v>0.0</v>
      </c>
      <c r="H23" s="1">
        <v>0.0</v>
      </c>
      <c r="I23" s="1">
        <v>0.0</v>
      </c>
      <c r="J23" s="1">
        <v>400.0</v>
      </c>
      <c r="K23" s="1">
        <v>420.0</v>
      </c>
    </row>
    <row r="25">
      <c r="B25" s="3" t="inlineStr">
        <is>
          <t xml:space="preserve">施策の投資（05-initiatives.csv から。億円）</t>
        </is>
      </c>
      <c r="G25" s="3" t="inlineStr">
        <is>
          <t xml:space="preserve">FY2026</t>
        </is>
      </c>
      <c r="H25" s="3" t="inlineStr">
        <is>
          <t xml:space="preserve">FY2027</t>
        </is>
      </c>
      <c r="I25" s="3" t="inlineStr">
        <is>
          <t xml:space="preserve">FY2028</t>
        </is>
      </c>
      <c r="J25" s="3" t="inlineStr">
        <is>
          <t xml:space="preserve">FY2029</t>
        </is>
      </c>
      <c r="K25" s="3" t="inlineStr">
        <is>
          <t xml:space="preserve">FY2030</t>
        </is>
      </c>
    </row>
    <row r="26">
      <c r="A26" s="0" t="inlineStr">
        <is>
          <t xml:space="preserve">I-001</t>
        </is>
      </c>
      <c r="B26" s="0" t="inlineStr">
        <is>
          <t xml:space="preserve">EV 熱マネジメント部品の拡販 投資（確度 中）</t>
        </is>
      </c>
      <c r="D26" s="0" t="inlineStr">
        <is>
          <t xml:space="preserve">億円</t>
        </is>
      </c>
      <c r="E26" s="0" t="inlineStr">
        <is>
          <t xml:space="preserve">推定</t>
        </is>
      </c>
      <c r="F26" s="0" t="inlineStr">
        <is>
          <t xml:space="preserve">init_inv</t>
        </is>
      </c>
      <c r="G26" s="1">
        <v>120.0</v>
      </c>
      <c r="H26" s="1">
        <v>120.0</v>
      </c>
      <c r="I26" s="1">
        <v>60.0</v>
      </c>
      <c r="J26" s="1">
        <v>0.0</v>
      </c>
      <c r="K26" s="1">
        <v>0.0</v>
      </c>
    </row>
    <row r="27">
      <c r="A27" s="0" t="inlineStr">
        <is>
          <t xml:space="preserve">I-002</t>
        </is>
      </c>
      <c r="B27" s="0" t="inlineStr">
        <is>
          <t xml:space="preserve">半導体製造装置向け部品の能力増強 投資（確度 中）</t>
        </is>
      </c>
      <c r="D27" s="0" t="inlineStr">
        <is>
          <t xml:space="preserve">億円</t>
        </is>
      </c>
      <c r="E27" s="0" t="inlineStr">
        <is>
          <t xml:space="preserve">推定</t>
        </is>
      </c>
      <c r="F27" s="0" t="inlineStr">
        <is>
          <t xml:space="preserve">init_inv</t>
        </is>
      </c>
      <c r="G27" s="1">
        <v>100.0</v>
      </c>
      <c r="H27" s="1">
        <v>100.0</v>
      </c>
      <c r="I27" s="1">
        <v>0.0</v>
      </c>
      <c r="J27" s="1">
        <v>0.0</v>
      </c>
      <c r="K27" s="1">
        <v>0.0</v>
      </c>
    </row>
    <row r="28">
      <c r="A28" s="0" t="inlineStr">
        <is>
          <t xml:space="preserve">I-005</t>
        </is>
      </c>
      <c r="B28" s="0" t="inlineStr">
        <is>
          <t xml:space="preserve">産業用センサーの海外展開（現地の販売会社と提携） 投資（確度 中）</t>
        </is>
      </c>
      <c r="D28" s="0" t="inlineStr">
        <is>
          <t xml:space="preserve">億円</t>
        </is>
      </c>
      <c r="E28" s="0" t="inlineStr">
        <is>
          <t xml:space="preserve">推定</t>
        </is>
      </c>
      <c r="F28" s="0" t="inlineStr">
        <is>
          <t xml:space="preserve">init_inv</t>
        </is>
      </c>
      <c r="G28" s="1">
        <v>30.0</v>
      </c>
      <c r="H28" s="1">
        <v>30.0</v>
      </c>
      <c r="I28" s="1">
        <v>0.0</v>
      </c>
      <c r="J28" s="1">
        <v>0.0</v>
      </c>
      <c r="K28" s="1">
        <v>0.0</v>
      </c>
    </row>
    <row r="29">
      <c r="A29" s="0" t="inlineStr">
        <is>
          <t xml:space="preserve">I-006</t>
        </is>
      </c>
      <c r="B29" s="0" t="inlineStr">
        <is>
          <t xml:space="preserve">海外同業の中規模買収（1 件目） 投資（確度 低）</t>
        </is>
      </c>
      <c r="D29" s="0" t="inlineStr">
        <is>
          <t xml:space="preserve">億円</t>
        </is>
      </c>
      <c r="E29" s="0" t="inlineStr">
        <is>
          <t xml:space="preserve">推定</t>
        </is>
      </c>
      <c r="F29" s="0" t="inlineStr">
        <is>
          <t xml:space="preserve">init_inv</t>
        </is>
      </c>
      <c r="G29" s="1">
        <v>0.0</v>
      </c>
      <c r="H29" s="1">
        <v>0.0</v>
      </c>
      <c r="I29" s="1">
        <v>0.0</v>
      </c>
      <c r="J29" s="1">
        <v>480.0</v>
      </c>
      <c r="K29" s="1">
        <v>0.0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6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</cols>
  <sheetData>
    <row r="1">
      <c r="A1" s="3" t="inlineStr">
        <is>
          <t xml:space="preserve">項目</t>
        </is>
      </c>
      <c r="B1" s="3" t="inlineStr">
        <is>
          <t xml:space="preserve">単位</t>
        </is>
      </c>
      <c r="C1" s="3" t="inlineStr">
        <is>
          <t xml:space="preserve">FY2025（実績）</t>
        </is>
      </c>
      <c r="D1" s="3" t="inlineStr">
        <is>
          <t xml:space="preserve">FY2026</t>
        </is>
      </c>
      <c r="E1" s="3" t="inlineStr">
        <is>
          <t xml:space="preserve">FY2027</t>
        </is>
      </c>
      <c r="F1" s="3" t="inlineStr">
        <is>
          <t xml:space="preserve">FY2028</t>
        </is>
      </c>
      <c r="G1" s="3" t="inlineStr">
        <is>
          <t xml:space="preserve">FY2029</t>
        </is>
      </c>
      <c r="H1" s="3" t="inlineStr">
        <is>
          <t xml:space="preserve">FY2030</t>
        </is>
      </c>
    </row>
    <row r="2">
      <c r="A2" s="0" t="inlineStr">
        <is>
          <t xml:space="preserve">成り行き売上</t>
        </is>
      </c>
      <c r="B2" s="0" t="inlineStr">
        <is>
          <t xml:space="preserve">億円</t>
        </is>
      </c>
      <c r="C2" s="1">
        <f>inputs!$C$2</f>
        <v>2000.0</v>
      </c>
      <c r="D2" s="1">
        <f>C2*(1+inputs!$C$7%)</f>
        <v>2098.0</v>
      </c>
      <c r="E2" s="1">
        <f>D2*(1+inputs!$C$7%)</f>
        <v>2200.8019999999997</v>
      </c>
      <c r="F2" s="1">
        <f>E2*(1+inputs!$C$7%)</f>
        <v>2308.6412979999996</v>
      </c>
      <c r="G2" s="1">
        <f>F2*(1+inputs!$C$7%)</f>
        <v>2421.7647216019996</v>
      </c>
      <c r="H2" s="1">
        <f>G2*(1+inputs!$C$7%)</f>
        <v>2540.4311929604974</v>
      </c>
    </row>
    <row r="3">
      <c r="A3" s="0" t="inlineStr">
        <is>
          <t xml:space="preserve">施策売上</t>
        </is>
      </c>
      <c r="B3" s="0" t="inlineStr">
        <is>
          <t xml:space="preserve">億円</t>
        </is>
      </c>
      <c r="D3" s="1">
        <f>SUM(inputs!G20:G23)</f>
        <v>82.3</v>
      </c>
      <c r="E3" s="1">
        <f>SUM(inputs!H20:H23)</f>
        <v>319.0</v>
      </c>
      <c r="F3" s="1">
        <f>SUM(inputs!I20:I23)</f>
        <v>590.4000000000001</v>
      </c>
      <c r="G3" s="1">
        <f>SUM(inputs!J20:J23)</f>
        <v>1156.2</v>
      </c>
      <c r="H3" s="1">
        <f>SUM(inputs!K20:K23)</f>
        <v>1268.8</v>
      </c>
    </row>
    <row r="4">
      <c r="A4" s="0" t="inlineStr">
        <is>
          <t xml:space="preserve">連結売上高</t>
        </is>
      </c>
      <c r="B4" s="0" t="inlineStr">
        <is>
          <t xml:space="preserve">億円</t>
        </is>
      </c>
      <c r="C4" s="1">
        <f>C2</f>
        <v>2000.0</v>
      </c>
      <c r="D4" s="1">
        <f>D2+D3</f>
        <v>2180.3</v>
      </c>
      <c r="E4" s="1">
        <f>E2+E3</f>
        <v>2519.8019999999997</v>
      </c>
      <c r="F4" s="1">
        <f>F2+F3</f>
        <v>2899.0412979999996</v>
      </c>
      <c r="G4" s="1">
        <f>G2+G3</f>
        <v>3577.9647216019994</v>
      </c>
      <c r="H4" s="1">
        <f>H2+H3</f>
        <v>3809.2311929604975</v>
      </c>
    </row>
    <row r="5">
      <c r="A5" s="0" t="inlineStr">
        <is>
          <t xml:space="preserve">成り行き営業利益</t>
        </is>
      </c>
      <c r="B5" s="0" t="inlineStr">
        <is>
          <t xml:space="preserve">億円</t>
        </is>
      </c>
      <c r="D5" s="1">
        <f>D2*inputs!$C$8%</f>
        <v>128.1878</v>
      </c>
      <c r="E5" s="1">
        <f>E2*inputs!$C$8%</f>
        <v>134.46900219999998</v>
      </c>
      <c r="F5" s="1">
        <f>F2*inputs!$C$8%</f>
        <v>141.0579833078</v>
      </c>
      <c r="G5" s="1">
        <f>G2*inputs!$C$8%</f>
        <v>147.96982448988217</v>
      </c>
      <c r="H5" s="1">
        <f>H2*inputs!$C$8%</f>
        <v>155.2203458898864</v>
      </c>
    </row>
    <row r="6">
      <c r="A6" s="0" t="inlineStr">
        <is>
          <t xml:space="preserve">施策営業利益</t>
        </is>
      </c>
      <c r="B6" s="0" t="inlineStr">
        <is>
          <t xml:space="preserve">億円</t>
        </is>
      </c>
      <c r="D6" s="1">
        <f>D3*inputs!$C$9%</f>
        <v>6.584</v>
      </c>
      <c r="E6" s="1">
        <f>E3*inputs!$C$9%</f>
        <v>25.52</v>
      </c>
      <c r="F6" s="1">
        <f>F3*inputs!$C$9%</f>
        <v>47.232000000000006</v>
      </c>
      <c r="G6" s="1">
        <f>G3*inputs!$C$9%</f>
        <v>92.49600000000001</v>
      </c>
      <c r="H6" s="1">
        <f>H3*inputs!$C$9%</f>
        <v>101.504</v>
      </c>
    </row>
    <row r="7">
      <c r="A7" s="0" t="inlineStr">
        <is>
          <t xml:space="preserve">営業利益</t>
        </is>
      </c>
      <c r="B7" s="0" t="inlineStr">
        <is>
          <t xml:space="preserve">億円</t>
        </is>
      </c>
      <c r="C7" s="1">
        <f>inputs!$C$3</f>
        <v>122.2</v>
      </c>
      <c r="D7" s="1">
        <f>D5+D6</f>
        <v>134.7718</v>
      </c>
      <c r="E7" s="1">
        <f>E5+E6</f>
        <v>159.9890022</v>
      </c>
      <c r="F7" s="1">
        <f>F5+F6</f>
        <v>188.2899833078</v>
      </c>
      <c r="G7" s="1">
        <f>G5+G6</f>
        <v>240.46582448988218</v>
      </c>
      <c r="H7" s="1">
        <f>H5+H6</f>
        <v>256.7243458898864</v>
      </c>
    </row>
    <row r="8">
      <c r="A8" s="0" t="inlineStr">
        <is>
          <t xml:space="preserve">営業利益率</t>
        </is>
      </c>
      <c r="B8" s="0" t="inlineStr">
        <is>
          <t xml:space="preserve">%</t>
        </is>
      </c>
      <c r="C8" s="2">
        <f>C7/C4</f>
        <v>0.0611</v>
      </c>
      <c r="D8" s="2">
        <f>D7/D4</f>
        <v>0.06181342017153603</v>
      </c>
      <c r="E8" s="2">
        <f>E7/E4</f>
        <v>0.06349268799691404</v>
      </c>
      <c r="F8" s="2">
        <f>F7/F4</f>
        <v>0.06494905175641966</v>
      </c>
      <c r="G8" s="2">
        <f>G7/G4</f>
        <v>0.06720743305211123</v>
      </c>
      <c r="H8" s="2">
        <f>H7/H4</f>
        <v>0.06739531755497433</v>
      </c>
    </row>
    <row r="9">
      <c r="A9" s="0" t="inlineStr">
        <is>
          <t xml:space="preserve">減価償却費（成り行き）</t>
        </is>
      </c>
      <c r="B9" s="0" t="inlineStr">
        <is>
          <t xml:space="preserve">億円</t>
        </is>
      </c>
      <c r="D9" s="1">
        <f>D2*inputs!$C$10%</f>
        <v>94.41</v>
      </c>
      <c r="E9" s="1">
        <f>E2*inputs!$C$10%</f>
        <v>99.03608999999999</v>
      </c>
      <c r="F9" s="1">
        <f>F2*inputs!$C$10%</f>
        <v>103.88885840999997</v>
      </c>
      <c r="G9" s="1">
        <f>G2*inputs!$C$10%</f>
        <v>108.97941247208998</v>
      </c>
      <c r="H9" s="1">
        <f>H2*inputs!$C$10%</f>
        <v>114.31940368322238</v>
      </c>
    </row>
    <row r="10">
      <c r="A10" s="0" t="inlineStr">
        <is>
          <t xml:space="preserve">減価償却費（施策投資）</t>
        </is>
      </c>
      <c r="B10" s="0" t="inlineStr">
        <is>
          <t xml:space="preserve">億円</t>
        </is>
      </c>
      <c r="E10" s="1">
        <f>SUM(inputs!$G$26:G29)/inputs!$C$12</f>
        <v>25.0</v>
      </c>
      <c r="F10" s="1">
        <f>SUM(inputs!$G$26:H29)/inputs!$C$12</f>
        <v>50.0</v>
      </c>
      <c r="G10" s="1">
        <f>SUM(inputs!$G$26:I29)/inputs!$C$12</f>
        <v>56.0</v>
      </c>
      <c r="H10" s="1">
        <f>SUM(inputs!$G$26:J29)/inputs!$C$12</f>
        <v>104.0</v>
      </c>
    </row>
    <row r="11">
      <c r="A11" s="0" t="inlineStr">
        <is>
          <t xml:space="preserve">減価償却費</t>
        </is>
      </c>
      <c r="B11" s="0" t="inlineStr">
        <is>
          <t xml:space="preserve">億円</t>
        </is>
      </c>
      <c r="D11" s="1">
        <f>D9+D10</f>
        <v>94.41</v>
      </c>
      <c r="E11" s="1">
        <f>E9+E10</f>
        <v>124.03608999999999</v>
      </c>
      <c r="F11" s="1">
        <f>F9+F10</f>
        <v>153.88885840999995</v>
      </c>
      <c r="G11" s="1">
        <f>G9+G10</f>
        <v>164.97941247208996</v>
      </c>
      <c r="H11" s="1">
        <f>H9+H10</f>
        <v>218.3194036832224</v>
      </c>
    </row>
    <row r="12">
      <c r="A12" s="0" t="inlineStr">
        <is>
          <t xml:space="preserve">維持更新投資</t>
        </is>
      </c>
      <c r="B12" s="0" t="inlineStr">
        <is>
          <t xml:space="preserve">億円</t>
        </is>
      </c>
      <c r="D12" s="1">
        <f>D2*inputs!$C$11%</f>
        <v>94.41</v>
      </c>
      <c r="E12" s="1">
        <f>E2*inputs!$C$11%</f>
        <v>99.03608999999999</v>
      </c>
      <c r="F12" s="1">
        <f>F2*inputs!$C$11%</f>
        <v>103.88885840999997</v>
      </c>
      <c r="G12" s="1">
        <f>G2*inputs!$C$11%</f>
        <v>108.97941247208998</v>
      </c>
      <c r="H12" s="1">
        <f>H2*inputs!$C$11%</f>
        <v>114.31940368322238</v>
      </c>
    </row>
    <row r="13">
      <c r="A13" s="0" t="inlineStr">
        <is>
          <t xml:space="preserve">施策投資</t>
        </is>
      </c>
      <c r="B13" s="0" t="inlineStr">
        <is>
          <t xml:space="preserve">億円</t>
        </is>
      </c>
      <c r="D13" s="1">
        <f>SUM(inputs!G26:G29)</f>
        <v>250.0</v>
      </c>
      <c r="E13" s="1">
        <f>SUM(inputs!H26:H29)</f>
        <v>250.0</v>
      </c>
      <c r="F13" s="1">
        <f>SUM(inputs!I26:I29)</f>
        <v>60.0</v>
      </c>
      <c r="G13" s="1">
        <f>SUM(inputs!J26:J29)</f>
        <v>480.0</v>
      </c>
      <c r="H13" s="1">
        <f>SUM(inputs!K26:K29)</f>
        <v>0.0</v>
      </c>
    </row>
    <row r="14">
      <c r="A14" s="0" t="inlineStr">
        <is>
          <t xml:space="preserve">投資合計</t>
        </is>
      </c>
      <c r="B14" s="0" t="inlineStr">
        <is>
          <t xml:space="preserve">億円</t>
        </is>
      </c>
      <c r="D14" s="1">
        <f>D12+D13</f>
        <v>344.40999999999997</v>
      </c>
      <c r="E14" s="1">
        <f>E12+E13</f>
        <v>349.03609</v>
      </c>
      <c r="F14" s="1">
        <f>F12+F13</f>
        <v>163.88885840999995</v>
      </c>
      <c r="G14" s="1">
        <f>G12+G13</f>
        <v>588.97941247209</v>
      </c>
      <c r="H14" s="1">
        <f>H12+H13</f>
        <v>114.31940368322238</v>
      </c>
    </row>
    <row r="15">
      <c r="A15" s="0" t="inlineStr">
        <is>
          <t xml:space="preserve">運転資本の増加</t>
        </is>
      </c>
      <c r="B15" s="0" t="inlineStr">
        <is>
          <t xml:space="preserve">億円</t>
        </is>
      </c>
      <c r="D15" s="1">
        <f>(D4-C4)*inputs!$C$13%</f>
        <v>27.045000000000027</v>
      </c>
      <c r="E15" s="1">
        <f>(E4-D4)*inputs!$C$13%</f>
        <v>50.92529999999992</v>
      </c>
      <c r="F15" s="1">
        <f>(F4-E4)*inputs!$C$13%</f>
        <v>56.885894699999994</v>
      </c>
      <c r="G15" s="1">
        <f>(G4-F4)*inputs!$C$13%</f>
        <v>101.83851354029996</v>
      </c>
      <c r="H15" s="1">
        <f>(H4-G4)*inputs!$C$13%</f>
        <v>34.689970703774726</v>
      </c>
    </row>
    <row r="16">
      <c r="A16" s="0" t="inlineStr">
        <is>
          <t xml:space="preserve">営業利益に対する税金</t>
        </is>
      </c>
      <c r="B16" s="0" t="inlineStr">
        <is>
          <t xml:space="preserve">億円</t>
        </is>
      </c>
      <c r="D16" s="1">
        <f>D7*inputs!$C$14%</f>
        <v>40.431540000000005</v>
      </c>
      <c r="E16" s="1">
        <f>E7*inputs!$C$14%</f>
        <v>47.996700659999995</v>
      </c>
      <c r="F16" s="1">
        <f>F7*inputs!$C$14%</f>
        <v>56.486994992339994</v>
      </c>
      <c r="G16" s="1">
        <f>G7*inputs!$C$14%</f>
        <v>72.13974734696465</v>
      </c>
      <c r="H16" s="1">
        <f>H7*inputs!$C$14%</f>
        <v>77.01730376696592</v>
      </c>
    </row>
    <row r="17">
      <c r="A17" s="0" t="inlineStr">
        <is>
          <t xml:space="preserve">NOPAT</t>
        </is>
      </c>
      <c r="B17" s="0" t="inlineStr">
        <is>
          <t xml:space="preserve">億円</t>
        </is>
      </c>
      <c r="D17" s="1">
        <f>D7-D16</f>
        <v>94.34026</v>
      </c>
      <c r="E17" s="1">
        <f>E7-E16</f>
        <v>111.99230154</v>
      </c>
      <c r="F17" s="1">
        <f>F7-F16</f>
        <v>131.80298831546</v>
      </c>
      <c r="G17" s="1">
        <f>G7-G16</f>
        <v>168.32607714291754</v>
      </c>
      <c r="H17" s="1">
        <f>H7-H16</f>
        <v>179.70704212292048</v>
      </c>
    </row>
    <row r="18">
      <c r="A18" s="0" t="inlineStr">
        <is>
          <t xml:space="preserve">フリー・キャッシュ・フロー</t>
        </is>
      </c>
      <c r="B18" s="0" t="inlineStr">
        <is>
          <t xml:space="preserve">億円</t>
        </is>
      </c>
      <c r="D18" s="1">
        <f>D17+D11-D14-D15</f>
        <v>-182.70474</v>
      </c>
      <c r="E18" s="1">
        <f>E17+E11-E14-E15</f>
        <v>-163.93299845999996</v>
      </c>
      <c r="F18" s="1">
        <f>F17+F11-F14-F15</f>
        <v>64.91709361546003</v>
      </c>
      <c r="G18" s="1">
        <f>G17+G11-G14-G15</f>
        <v>-357.51243639738243</v>
      </c>
      <c r="H18" s="1">
        <f>H17+H11-H14-H15</f>
        <v>249.01707141914576</v>
      </c>
    </row>
    <row r="19">
      <c r="A19" s="0" t="inlineStr">
        <is>
          <t xml:space="preserve">投下資本（期末）</t>
        </is>
      </c>
      <c r="B19" s="0" t="inlineStr">
        <is>
          <t xml:space="preserve">億円</t>
        </is>
      </c>
      <c r="C19" s="1">
        <f>inputs!$C$4+inputs!$C$5-inputs!$C$6</f>
        <v>1230.0</v>
      </c>
      <c r="D19" s="1">
        <f>C19+D14-D11+D15</f>
        <v>1507.0449999999998</v>
      </c>
      <c r="E19" s="1">
        <f>D19+E14-E11+E15</f>
        <v>1782.9702999999997</v>
      </c>
      <c r="F19" s="1">
        <f>E19+F14-F11+F15</f>
        <v>1849.8561946999998</v>
      </c>
      <c r="G19" s="1">
        <f>F19+G14-G11+G15</f>
        <v>2375.6947082403</v>
      </c>
      <c r="H19" s="1">
        <f>G19+H14-H11+H15</f>
        <v>2306.3846789440745</v>
      </c>
    </row>
    <row r="20">
      <c r="A20" s="0" t="inlineStr">
        <is>
          <t xml:space="preserve">ROIC（期首期末平均の投下資本）</t>
        </is>
      </c>
      <c r="B20" s="0" t="inlineStr">
        <is>
          <t xml:space="preserve">%</t>
        </is>
      </c>
      <c r="D20" s="2">
        <f>D17/AVERAGE(C19,D19)</f>
        <v>0.06893584869813978</v>
      </c>
      <c r="E20" s="2">
        <f>E17/AVERAGE(D19,E19)</f>
        <v>0.06808010986453468</v>
      </c>
      <c r="F20" s="2">
        <f>F17/AVERAGE(E19,F19)</f>
        <v>0.07256222586338759</v>
      </c>
      <c r="G20" s="2">
        <f>G17/AVERAGE(F19,G19)</f>
        <v>0.07967059491617522</v>
      </c>
      <c r="H20" s="2">
        <f>H17/AVERAGE(G19,H19)</f>
        <v>0.07676377406791024</v>
      </c>
    </row>
    <row r="21">
      <c r="A21" s="0" t="inlineStr">
        <is>
          <t xml:space="preserve">ROIC − WACC</t>
        </is>
      </c>
      <c r="B21" s="0" t="inlineStr">
        <is>
          <t xml:space="preserve">%</t>
        </is>
      </c>
      <c r="D21" s="2">
        <f>D20-inputs!$C$17%</f>
        <v>0.008935848698139778</v>
      </c>
      <c r="E21" s="2">
        <f>E20-inputs!$C$17%</f>
        <v>0.008080109864534682</v>
      </c>
      <c r="F21" s="2">
        <f>F20-inputs!$C$17%</f>
        <v>0.012562225863387594</v>
      </c>
      <c r="G21" s="2">
        <f>G20-inputs!$C$17%</f>
        <v>0.01967059491617522</v>
      </c>
      <c r="H21" s="2">
        <f>H20-inputs!$C$17%</f>
        <v>0.016763774067910242</v>
      </c>
    </row>
    <row r="22">
      <c r="A22" s="0" t="inlineStr">
        <is>
          <t xml:space="preserve">NOPAT マージン</t>
        </is>
      </c>
      <c r="B22" s="0" t="inlineStr">
        <is>
          <t xml:space="preserve">%</t>
        </is>
      </c>
      <c r="D22" s="2">
        <f>D17/D4</f>
        <v>0.043269394120075216</v>
      </c>
      <c r="E22" s="2">
        <f>E17/E4</f>
        <v>0.04444488159783984</v>
      </c>
      <c r="F22" s="2">
        <f>F17/F4</f>
        <v>0.04546433622949376</v>
      </c>
      <c r="G22" s="2">
        <f>G17/G4</f>
        <v>0.047045203136477864</v>
      </c>
      <c r="H22" s="2">
        <f>H17/H4</f>
        <v>0.04717672228848203</v>
      </c>
    </row>
    <row r="23">
      <c r="A23" s="0" t="inlineStr">
        <is>
          <t xml:space="preserve">投下資本回転率</t>
        </is>
      </c>
      <c r="B23" s="0" t="inlineStr">
        <is>
          <t xml:space="preserve">倍</t>
        </is>
      </c>
      <c r="D23" s="4">
        <f>D4/AVERAGE(C19,D19)</f>
        <v>1.5931780442046075</v>
      </c>
      <c r="E23" s="4">
        <f>E4/AVERAGE(D19,E19)</f>
        <v>1.5317874053655616</v>
      </c>
      <c r="F23" s="4">
        <f>F4/AVERAGE(E19,F19)</f>
        <v>1.5960251898787166</v>
      </c>
      <c r="G23" s="4">
        <f>G4/AVERAGE(F19,G19)</f>
        <v>1.693490294537602</v>
      </c>
      <c r="H23" s="4">
        <f>H4/AVERAGE(G19,H19)</f>
        <v>1.6271536118703982</v>
      </c>
    </row>
    <row r="24">
      <c r="A24" s="0" t="inlineStr">
        <is>
          <t xml:space="preserve">支払利息</t>
        </is>
      </c>
      <c r="B24" s="0" t="inlineStr">
        <is>
          <t xml:space="preserve">億円</t>
        </is>
      </c>
      <c r="D24" s="1">
        <f>inputs!$C$5*inputs!$C$15%</f>
        <v>4.0</v>
      </c>
      <c r="E24" s="1">
        <f>inputs!$C$5*inputs!$C$15%</f>
        <v>4.0</v>
      </c>
      <c r="F24" s="1">
        <f>inputs!$C$5*inputs!$C$15%</f>
        <v>4.0</v>
      </c>
      <c r="G24" s="1">
        <f>inputs!$C$5*inputs!$C$15%</f>
        <v>4.0</v>
      </c>
      <c r="H24" s="1">
        <f>inputs!$C$5*inputs!$C$15%</f>
        <v>4.0</v>
      </c>
    </row>
    <row r="25">
      <c r="A25" s="0" t="inlineStr">
        <is>
          <t xml:space="preserve">当期純利益（近似）</t>
        </is>
      </c>
      <c r="B25" s="0" t="inlineStr">
        <is>
          <t xml:space="preserve">億円</t>
        </is>
      </c>
      <c r="D25" s="1">
        <f>(D7-D24)*(1-inputs!$C$14%)</f>
        <v>91.54026</v>
      </c>
      <c r="E25" s="1">
        <f>(E7-E24)*(1-inputs!$C$14%)</f>
        <v>109.19230153999999</v>
      </c>
      <c r="F25" s="1">
        <f>(F7-F24)*(1-inputs!$C$14%)</f>
        <v>129.00298831546</v>
      </c>
      <c r="G25" s="1">
        <f>(G7-G24)*(1-inputs!$C$14%)</f>
        <v>165.52607714291753</v>
      </c>
      <c r="H25" s="1">
        <f>(H7-H24)*(1-inputs!$C$14%)</f>
        <v>176.90704212292047</v>
      </c>
    </row>
    <row r="26">
      <c r="A26" s="0" t="inlineStr">
        <is>
          <t xml:space="preserve">配当金</t>
        </is>
      </c>
      <c r="B26" s="0" t="inlineStr">
        <is>
          <t xml:space="preserve">億円</t>
        </is>
      </c>
      <c r="D26" s="1">
        <f>D25*inputs!$C$16%</f>
        <v>32.039091</v>
      </c>
      <c r="E26" s="1">
        <f>E25*inputs!$C$16%</f>
        <v>38.217305538999994</v>
      </c>
      <c r="F26" s="1">
        <f>F25*inputs!$C$16%</f>
        <v>45.15104591041099</v>
      </c>
      <c r="G26" s="1">
        <f>G25*inputs!$C$16%</f>
        <v>57.93412700002113</v>
      </c>
      <c r="H26" s="1">
        <f>H25*inputs!$C$16%</f>
        <v>61.91746474302216</v>
      </c>
    </row>
    <row r="27">
      <c r="A27" s="0" t="inlineStr">
        <is>
          <t xml:space="preserve">純資産（期末）</t>
        </is>
      </c>
      <c r="B27" s="0" t="inlineStr">
        <is>
          <t xml:space="preserve">億円</t>
        </is>
      </c>
      <c r="C27" s="1">
        <f>inputs!$C$4</f>
        <v>1150.0</v>
      </c>
      <c r="D27" s="1">
        <f>C27+D25-D26</f>
        <v>1209.501169</v>
      </c>
      <c r="E27" s="1">
        <f>D27+E25-E26</f>
        <v>1280.476165001</v>
      </c>
      <c r="F27" s="1">
        <f>E27+F25-F26</f>
        <v>1364.328107406049</v>
      </c>
      <c r="G27" s="1">
        <f>F27+G25-G26</f>
        <v>1471.9200575489454</v>
      </c>
      <c r="H27" s="1">
        <f>G27+H25-H26</f>
        <v>1586.9096349288436</v>
      </c>
    </row>
    <row r="28">
      <c r="A28" s="0" t="inlineStr">
        <is>
          <t xml:space="preserve">ROE（近似、期首期末平均）</t>
        </is>
      </c>
      <c r="B28" s="0" t="inlineStr">
        <is>
          <t xml:space="preserve">%</t>
        </is>
      </c>
      <c r="D28" s="2">
        <f>D25/AVERAGE(C27,D27)</f>
        <v>0.07759289226272895</v>
      </c>
      <c r="E28" s="2">
        <f>E25/AVERAGE(D27,E27)</f>
        <v>0.08770545823768222</v>
      </c>
      <c r="F28" s="2">
        <f>F25/AVERAGE(E27,F27)</f>
        <v>0.09755201143716676</v>
      </c>
      <c r="G28" s="2">
        <f>G25/AVERAGE(F27,G27)</f>
        <v>0.11672185754982699</v>
      </c>
      <c r="H28" s="2">
        <f>H25/AVERAGE(G27,H27)</f>
        <v>0.11566975602333575</v>
      </c>
    </row>
    <row r="29">
      <c r="A29" s="0" t="inlineStr">
        <is>
          <t xml:space="preserve">現金及び預金（期末、借入一定）</t>
        </is>
      </c>
      <c r="B29" s="0" t="inlineStr">
        <is>
          <t xml:space="preserve">億円</t>
        </is>
      </c>
      <c r="C29" s="1">
        <f>inputs!$C$6</f>
        <v>320.0</v>
      </c>
      <c r="D29" s="1">
        <f>C29+D18-D24*(1-inputs!$C$14%)-D26</f>
        <v>102.456169</v>
      </c>
      <c r="E29" s="1">
        <f>D29+E18-E24*(1-inputs!$C$14%)-E26</f>
        <v>-102.49413499899995</v>
      </c>
      <c r="F29" s="1">
        <f>E29+F18-F24*(1-inputs!$C$14%)-F26</f>
        <v>-85.5280872939509</v>
      </c>
      <c r="G29" s="1">
        <f>F29+G18-G24*(1-inputs!$C$14%)-G26</f>
        <v>-503.77465069135445</v>
      </c>
      <c r="H29" s="1">
        <f>G29+H18-H24*(1-inputs!$C$14%)-H26</f>
        <v>-319.4750440152308</v>
      </c>
    </row>
    <row r="30">
      <c r="A30" s="0" t="inlineStr">
        <is>
          <t xml:space="preserve">ネット D/E レシオ</t>
        </is>
      </c>
      <c r="B30" s="0" t="inlineStr">
        <is>
          <t xml:space="preserve">倍</t>
        </is>
      </c>
      <c r="C30" s="4">
        <f>(inputs!$C$5-C29)/C27</f>
        <v>0.06956521739130435</v>
      </c>
      <c r="D30" s="4">
        <f>(inputs!$C$5-D29)/D27</f>
        <v>0.2460054100204016</v>
      </c>
      <c r="E30" s="4">
        <f>(inputs!$C$5-E29)/E27</f>
        <v>0.39242755838302346</v>
      </c>
      <c r="F30" s="4">
        <f>(inputs!$C$5-F29)/F27</f>
        <v>0.35587340366172554</v>
      </c>
      <c r="G30" s="4">
        <f>(inputs!$C$5-G29)/G27</f>
        <v>0.6140106903606765</v>
      </c>
      <c r="H30" s="4">
        <f>(inputs!$C$5-H29)/H27</f>
        <v>0.45338123115465984</v>
      </c>
    </row>
  </sheetData>
</worksheet>
</file>